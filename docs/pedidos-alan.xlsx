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'Pedidos'!$A$4:$F$39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FF1B1B1B"/>
      <sz val="16"/>
    </font>
    <font>
      <name val="Arial"/>
      <color rgb="FF595959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006100"/>
      <sz val="10"/>
    </font>
    <font>
      <name val="Arial"/>
      <b val="1"/>
      <color rgb="FF9C5700"/>
      <sz val="10"/>
    </font>
    <font>
      <name val="Arial"/>
      <b val="1"/>
      <color rgb="FF7F6000"/>
      <sz val="10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9C0006"/>
      <sz val="10"/>
    </font>
    <font>
      <name val="Arial"/>
      <b val="1"/>
      <color rgb="001F4E79"/>
      <sz val="10"/>
    </font>
    <font>
      <name val="Arial"/>
      <b val="1"/>
      <color rgb="00595959"/>
      <sz val="10"/>
    </font>
    <font>
      <name val="Arial"/>
      <b val="1"/>
      <color rgb="009C57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DEDED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left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5" fillId="11" borderId="3" applyAlignment="1" pivotButton="0" quotePrefix="0" xfId="0">
      <alignment horizontal="center" vertical="center" wrapText="1"/>
    </xf>
    <xf numFmtId="0" fontId="16" fillId="12" borderId="3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workbookViewId="0">
      <pane ySplit="4" topLeftCell="A10" activePane="bottomLeft" state="frozen"/>
      <selection pane="bottomLeft" activeCell="E12" sqref="E12"/>
    </sheetView>
  </sheetViews>
  <sheetFormatPr baseColWidth="8" defaultRowHeight="15"/>
  <cols>
    <col width="5" customWidth="1" style="16" min="1" max="1"/>
    <col width="24.28515625" customWidth="1" style="16" min="2" max="2"/>
    <col width="62" customWidth="1" style="16" min="3" max="3"/>
    <col width="22" customWidth="1" style="16" min="4" max="4"/>
    <col width="78" customWidth="1" style="16" min="5" max="5"/>
    <col width="11" customWidth="1" style="16" min="6" max="6"/>
  </cols>
  <sheetData>
    <row r="1" ht="20.25" customHeight="1" s="16">
      <c r="A1" s="17" t="inlineStr">
        <is>
          <t>Copolero · pedidos de Alan</t>
        </is>
      </c>
    </row>
    <row r="2">
      <c r="A2" s="15" t="inlineStr">
        <is>
          <t>Todo lo que pediste el 17 de agosto de 2026, con su estado y qué se hizo. Rama: claude/buenas-9b6dk2</t>
        </is>
      </c>
    </row>
    <row r="4" ht="21.95" customHeight="1" s="16">
      <c r="A4" s="1" t="inlineStr">
        <is>
          <t>#</t>
        </is>
      </c>
      <c r="B4" s="1" t="inlineStr">
        <is>
          <t>Área</t>
        </is>
      </c>
      <c r="C4" s="1" t="inlineStr">
        <is>
          <t>Qué pediste</t>
        </is>
      </c>
      <c r="D4" s="1" t="inlineStr">
        <is>
          <t>Estado</t>
        </is>
      </c>
      <c r="E4" s="1" t="inlineStr">
        <is>
          <t>Observaciones</t>
        </is>
      </c>
      <c r="F4" s="19" t="inlineStr">
        <is>
          <t>Prioridad</t>
        </is>
      </c>
    </row>
    <row r="5" ht="57.95" customHeight="1" s="16">
      <c r="A5" s="2" t="n">
        <v>1</v>
      </c>
      <c r="B5" s="3" t="inlineStr">
        <is>
          <t>Diario</t>
        </is>
      </c>
      <c r="C5" s="4" t="inlineStr">
        <is>
          <t>Ficha del año en la tapa: partidos, goles, promedio de gol por partido, G+A, y si jugó en la selección</t>
        </is>
      </c>
      <c r="D5" s="5" t="inlineStr">
        <is>
          <t>Implementado</t>
        </is>
      </c>
      <c r="E5" s="4" t="inlineStr">
        <is>
          <t>PJ, goles, asistencias, G+A, gol/PJ y nota, al lado de la crónica y en la tipografía del diario. El promedio va con dos decimales a propósito: entre 0.42 y 0.58 hay un delantero distinto. La línea de selección aparece sólo si hubo algo que contar.</t>
        </is>
      </c>
      <c r="F5" s="20" t="n"/>
    </row>
    <row r="6" ht="57.95" customHeight="1" s="16">
      <c r="A6" s="2" t="n">
        <v>2</v>
      </c>
      <c r="B6" s="3" t="inlineStr">
        <is>
          <t>Sincronización</t>
        </is>
      </c>
      <c r="C6" s="4" t="inlineStr">
        <is>
          <t>Bug: el futbolista todavía no eligió y al repre le aparece que YA se cerró el acuerdo del 5%</t>
        </is>
      </c>
      <c r="D6" s="5" t="inlineStr">
        <is>
          <t>Implementado</t>
        </is>
      </c>
      <c r="E6" s="4" t="inlineStr">
        <is>
          <t>No era la barrera. La pantalla sólo se refrescaba mientras esperabas al otro, así que si el otro usaba 'avanzar sin esperar' te quedabas con una pantalla vieja y tu elección se guardaba contra la fase equivocada. Ahora el formulario lleva sello de fase y temporada, el servidor lo rechaza si no coincide, y la pantalla se recarga en el acto.</t>
        </is>
      </c>
      <c r="F6" s="20" t="n"/>
    </row>
    <row r="7" ht="57.95" customHeight="1" s="16">
      <c r="A7" s="2" t="n">
        <v>3</v>
      </c>
      <c r="B7" s="3" t="inlineStr">
        <is>
          <t>Momentos</t>
        </is>
      </c>
      <c r="C7" s="4" t="inlineStr">
        <is>
          <t>Hacer los momentos tipo popup, que es lo más importante: las decisiones del jugador y del repre en el camino del año</t>
        </is>
      </c>
      <c r="D7" s="5" t="inlineStr">
        <is>
          <t>Implementado</t>
        </is>
      </c>
      <c r="E7" s="4" t="inlineStr">
        <is>
          <t>El momento se abre a pantalla completa. Opciones lado a lado, cada una con su escena dibujada y con las cuentas a la vista: qué ganás si sale y qué perdés si no, con el porcentaje. Los números ya existían en el motor; lo que cambió es que ahora se ven.</t>
        </is>
      </c>
      <c r="F7" s="20" t="n"/>
    </row>
    <row r="8" ht="57.95" customHeight="1" s="16">
      <c r="A8" s="2" t="n">
        <v>4</v>
      </c>
      <c r="B8" s="3" t="inlineStr">
        <is>
          <t>Momentos</t>
        </is>
      </c>
      <c r="C8" s="4" t="inlineStr">
        <is>
          <t>Que no se pierda de vista el OVR y otros datos clave de la tarjeta del jugador</t>
        </is>
      </c>
      <c r="D8" s="5" t="inlineStr">
        <is>
          <t>Implementado</t>
        </is>
      </c>
      <c r="E8" s="4" t="inlineStr">
        <is>
          <t>Cinta fija arriba del popup. El futbolista ve media, edad, moral, desgaste, técnico y gente; el repre ve prestigio, negociación, scouting, contactos y carisma. Cada uno lo que sus momentos mueven.</t>
        </is>
      </c>
      <c r="F8" s="20" t="n"/>
    </row>
    <row r="9" ht="57.95" customHeight="1" s="16">
      <c r="A9" s="2" t="n">
        <v>5</v>
      </c>
      <c r="B9" s="3" t="inlineStr">
        <is>
          <t>Momentos</t>
        </is>
      </c>
      <c r="C9" s="4" t="inlineStr">
        <is>
          <t>Está bueno el resultado pero no se entiende cómo sigue: ¿cómo afecta al jugador que haya salido mal? ¿La moral?</t>
        </is>
      </c>
      <c r="D9" s="5" t="inlineStr">
        <is>
          <t>Implementado</t>
        </is>
      </c>
      <c r="E9" s="4" t="inlineStr">
        <is>
          <t>Abajo de la crónica quedan los chips de lo que de verdad se aplicó. Son los mismos que se vieron antes de elegir, y esa simetría es el punto: lo que decía la apuesta es lo que se cobró.</t>
        </is>
      </c>
      <c r="F9" s="20" t="n"/>
    </row>
    <row r="10" ht="57.95" customHeight="1" s="16">
      <c r="A10" s="2" t="n">
        <v>6</v>
      </c>
      <c r="B10" s="3" t="inlineStr">
        <is>
          <t>Mercado</t>
        </is>
      </c>
      <c r="C10" s="4" t="inlineStr">
        <is>
          <t>En el mercado la 1era acción es del representante: le llegan 6 equipos, filtra 3, y las que pasan llegan al jugador</t>
        </is>
      </c>
      <c r="D10" s="6" t="inlineStr">
        <is>
          <t>Motor listo · falta pantalla</t>
        </is>
      </c>
      <c r="E10" s="4" t="inlineStr">
        <is>
          <t>Motor y servidor hechos y testeados (23 tests nuevos). La chance de cada club sale de cruzar cuánto más grande es contra lo que valen los dos juntos (media del futbolista 70%, prestigio del repre 30%). Falta la pantalla: las cartas con reloj para el repre, las tarjetitas con escudo para el jugador, y la pantalla de espera.</t>
        </is>
      </c>
      <c r="F10" s="21" t="n">
        <v>1</v>
      </c>
    </row>
    <row r="11" ht="57.95" customHeight="1" s="16">
      <c r="A11" s="2" t="n">
        <v>7</v>
      </c>
      <c r="B11" s="3" t="inlineStr">
        <is>
          <t>Mercado</t>
        </is>
      </c>
      <c r="C11" s="4" t="inlineStr">
        <is>
          <t>Que el futbolista espere de verdad mientras el repre filtra</t>
        </is>
      </c>
      <c r="D11" s="5" t="inlineStr">
        <is>
          <t>Implementado</t>
        </is>
      </c>
      <c r="E11" s="4" t="inlineStr">
        <is>
          <t>La fase 3 dejó de ser simétrica. El servidor rechaza la decisión del que está esperando, y no sólo por prolijidad: los dos tiempos comparten la fase 3 en la base, así que una fila del que no juega contaría como 'ya cerré' cuando le toque de verdad.</t>
        </is>
      </c>
      <c r="F11" s="20" t="n"/>
    </row>
    <row r="12" ht="57.95" customHeight="1" s="16">
      <c r="A12" s="2" t="n">
        <v>8</v>
      </c>
      <c r="B12" s="3" t="inlineStr">
        <is>
          <t>Mercado</t>
        </is>
      </c>
      <c r="C12" s="4" t="inlineStr">
        <is>
          <t>Bug: si los dos elegimos una opción diferente en el mercado, se avanza igual, lo cual es imposible</t>
        </is>
      </c>
      <c r="D12" s="5" t="inlineStr">
        <is>
          <t>Implementado</t>
        </is>
      </c>
      <c r="E12" s="4" t="inlineStr">
        <is>
          <t>Resuelto de raíz por el mercado en dos tiempos: ya no hay dos elecciones que puedan no coincidir. El repre filtra, el futbolista elige, y elige solo.</t>
        </is>
      </c>
      <c r="F12" s="20" t="n"/>
    </row>
    <row r="13" ht="57.95" customHeight="1" s="16">
      <c r="A13" s="2" t="n">
        <v>9</v>
      </c>
      <c r="B13" s="3" t="inlineStr">
        <is>
          <t>Consumibles</t>
        </is>
      </c>
      <c r="C13" s="4" t="inlineStr">
        <is>
          <t>Desaparecieron los consumibles, no sé por qué</t>
        </is>
      </c>
      <c r="D13" s="5" t="inlineStr">
        <is>
          <t>Implementado</t>
        </is>
      </c>
      <c r="E13" s="4" t="inlineStr">
        <is>
          <t>No desaparecieron: estaban enterrados. La vidriera abría con diez tarjetas de 'para siempre' que en la primera pretemporada no se pueden pagar. Ahora los consumibles van primero, con su ×1 / ×2 / ×3 arriba a la derecha, y de lo más barato a lo más caro.</t>
        </is>
      </c>
      <c r="F13" s="20" t="n"/>
    </row>
    <row r="14" ht="57.95" customHeight="1" s="16">
      <c r="A14" s="2" t="n">
        <v>10</v>
      </c>
      <c r="B14" s="3" t="inlineStr">
        <is>
          <t>Consumibles</t>
        </is>
      </c>
      <c r="C14" s="4" t="inlineStr">
        <is>
          <t>Que el futbolista arranque con USD 0 está bien</t>
        </is>
      </c>
      <c r="D14" s="5" t="inlineStr">
        <is>
          <t>Confirmado · sin cambios</t>
        </is>
      </c>
      <c r="E14" s="4" t="inlineStr">
        <is>
          <t>Confirmado por vos. En la primera pretemporada no puede comprar nada, y queda así.</t>
        </is>
      </c>
      <c r="F14" s="20" t="n"/>
    </row>
    <row r="15" ht="57.95" customHeight="1" s="16">
      <c r="A15" s="2" t="n">
        <v>11</v>
      </c>
      <c r="B15" s="3" t="inlineStr">
        <is>
          <t>Mercado</t>
        </is>
      </c>
      <c r="C15" s="4" t="inlineStr">
        <is>
          <t>El popup del mercado de pases con las tarjetas de escudo</t>
        </is>
      </c>
      <c r="D15" s="7" t="inlineStr">
        <is>
          <t>Pendiente</t>
        </is>
      </c>
      <c r="E15" s="4" t="inlineStr">
        <is>
          <t>Va junto con la pantalla del mercado en dos tiempos. Del lado del jugador: escudo, sueldo, pase, temporadas. Sin probabilidad.</t>
        </is>
      </c>
      <c r="F15" s="22" t="n">
        <v>3</v>
      </c>
    </row>
    <row r="16" ht="57.95" customHeight="1" s="16">
      <c r="A16" s="2" t="n">
        <v>12</v>
      </c>
      <c r="B16" s="3" t="inlineStr">
        <is>
          <t>Trayectoria</t>
        </is>
      </c>
      <c r="C16" s="4" t="inlineStr">
        <is>
          <t>Hacer algo similar a la tabla de trayectoria, desplegable</t>
        </is>
      </c>
      <c r="D16" s="7" t="inlineStr">
        <is>
          <t>Pendiente</t>
        </is>
      </c>
      <c r="E16" s="4" t="inlineStr">
        <is>
          <t>Una fila por edad: edad, club, OVR, PJ, goles, asistencias, iconos de títulos, y la fila de selección abajo de todo.</t>
        </is>
      </c>
      <c r="F16" s="23" t="n">
        <v>4</v>
      </c>
    </row>
    <row r="17" ht="57.95" customHeight="1" s="16">
      <c r="A17" s="2" t="n">
        <v>13</v>
      </c>
      <c r="B17" s="3" t="inlineStr">
        <is>
          <t>Trofeos</t>
        </is>
      </c>
      <c r="C17" s="4" t="inlineStr">
        <is>
          <t>Vitrina de trofeos que se pueda acceder y ver miniatura de trofeos</t>
        </is>
      </c>
      <c r="D17" s="7" t="inlineStr">
        <is>
          <t>Pendiente</t>
        </is>
      </c>
      <c r="E17" s="4" t="inlineStr">
        <is>
          <t>Los trofeos se dibujan (SVG propio), no se copian de ningún lado.</t>
        </is>
      </c>
      <c r="F17" s="23" t="n">
        <v>4</v>
      </c>
    </row>
    <row r="18" ht="57.95" customHeight="1" s="16">
      <c r="A18" s="2" t="n">
        <v>14</v>
      </c>
      <c r="B18" s="3" t="inlineStr">
        <is>
          <t>Creación</t>
        </is>
      </c>
      <c r="C18" s="4" t="inlineStr">
        <is>
          <t>¿Qué clase de jugador sos?: poner muchas opciones para que no se repitan fácilmente</t>
        </is>
      </c>
      <c r="D18" s="7" t="inlineStr">
        <is>
          <t>Pendiente</t>
        </is>
      </c>
      <c r="E18" s="4" t="inlineStr">
        <is>
          <t>Ampliar el catálogo de rasgos y que la tirada saque distintos en cada partida.</t>
        </is>
      </c>
      <c r="F18" s="24" t="n">
        <v>2</v>
      </c>
    </row>
    <row r="19" ht="57.95" customHeight="1" s="16">
      <c r="A19" s="2" t="n">
        <v>15</v>
      </c>
      <c r="B19" s="3" t="inlineStr">
        <is>
          <t>Creación</t>
        </is>
      </c>
      <c r="C19" s="4" t="inlineStr">
        <is>
          <t>¿Para qué vas a jugar?: ver si lo dejamos</t>
        </is>
      </c>
      <c r="D19" s="8" t="inlineStr">
        <is>
          <t>Pendiente de decisión</t>
        </is>
      </c>
      <c r="E19" s="4" t="inlineStr">
        <is>
          <t>Lo dejo como está hasta que decidas. Es el sueño de carrera de cada rol.</t>
        </is>
      </c>
      <c r="F19" s="20" t="n"/>
    </row>
    <row r="20" ht="57.95" customHeight="1" s="16">
      <c r="A20" s="2" t="n">
        <v>16</v>
      </c>
      <c r="B20" s="3" t="inlineStr">
        <is>
          <t>Pretemporada</t>
        </is>
      </c>
      <c r="C20" s="4" t="inlineStr">
        <is>
          <t>La parte de intensidad, poner un velocímetro</t>
        </is>
      </c>
      <c r="D20" s="7" t="inlineStr">
        <is>
          <t>Pendiente</t>
        </is>
      </c>
      <c r="E20" s="4" t="inlineStr">
        <is>
          <t>Aguja sobre arco de colores, como el que mandaste.</t>
        </is>
      </c>
      <c r="F20" s="24" t="n">
        <v>2</v>
      </c>
    </row>
    <row r="21" ht="57.95" customHeight="1" s="16">
      <c r="A21" s="2" t="n">
        <v>17</v>
      </c>
      <c r="B21" s="3" t="inlineStr">
        <is>
          <t>Pretemporada</t>
        </is>
      </c>
      <c r="C21" s="4" t="inlineStr">
        <is>
          <t>La parte de CÓMO entrenar: poner SOLO 3 en horizontal</t>
        </is>
      </c>
      <c r="D21" s="7" t="inlineStr">
        <is>
          <t>Pendiente</t>
        </is>
      </c>
      <c r="E21" s="4" t="inlineStr">
        <is>
          <t>Hoy son 6 en grilla de dos columnas. Hay que elegir cuáles 3 se muestran cada año y que roten.</t>
        </is>
      </c>
      <c r="F21" s="21" t="n">
        <v>1</v>
      </c>
    </row>
    <row r="22" ht="57.95" customHeight="1" s="16">
      <c r="A22" s="2" t="n">
        <v>18</v>
      </c>
      <c r="B22" s="3" t="inlineStr">
        <is>
          <t>Pretemporada</t>
        </is>
      </c>
      <c r="C22" s="4" t="inlineStr">
        <is>
          <t>Sacar 'cómo vas a jugar el año' y que una de las 3 decisiones de la temporada lo defina, según el azar</t>
        </is>
      </c>
      <c r="D22" s="7" t="inlineStr">
        <is>
          <t>Pendiente</t>
        </is>
      </c>
      <c r="E22" s="4" t="inlineStr">
        <is>
          <t>Deja de ser una decisión explícita y pasa a ser consecuencia de un momento.</t>
        </is>
      </c>
      <c r="F22" s="24" t="n">
        <v>2</v>
      </c>
    </row>
    <row r="23" ht="57.95" customHeight="1" s="16">
      <c r="A23" s="2" t="n">
        <v>19</v>
      </c>
      <c r="B23" s="3" t="inlineStr">
        <is>
          <t>Cartas</t>
        </is>
      </c>
      <c r="C23" s="4" t="inlineStr">
        <is>
          <t>De las 45 tarjetas, todas con rareza: 25 comunes, 10 bronce, 7 plateadas, 3 doradas</t>
        </is>
      </c>
      <c r="D23" s="7" t="inlineStr">
        <is>
          <t>Pendiente</t>
        </is>
      </c>
      <c r="E23" s="4" t="inlineStr">
        <is>
          <t>Falta definir a qué se aplica (rasgos, consumibles, momentos) y que la rareza se vea y pese en la tirada.</t>
        </is>
      </c>
      <c r="F23" s="21" t="n">
        <v>1</v>
      </c>
    </row>
    <row r="24" ht="57.95" customHeight="1" s="16">
      <c r="A24" s="2" t="n">
        <v>20</v>
      </c>
      <c r="B24" s="3" t="inlineStr">
        <is>
          <t>Interfaz</t>
        </is>
      </c>
      <c r="C24" s="4" t="inlineStr">
        <is>
          <t>Destacar lo que hace el repre, o tirar notificación abajo a la derecha</t>
        </is>
      </c>
      <c r="D24" s="7" t="inlineStr">
        <is>
          <t>Pendiente</t>
        </is>
      </c>
      <c r="E24" s="4" t="inlineStr">
        <is>
          <t>Hoy se pierde entre las líneas del diario. Va al mismo lugar que el aviso de espera.</t>
        </is>
      </c>
      <c r="F24" s="21" t="n">
        <v>1</v>
      </c>
    </row>
    <row r="25" ht="57.95" customHeight="1" s="16">
      <c r="A25" s="2" t="n">
        <v>21</v>
      </c>
      <c r="B25" s="3" t="inlineStr">
        <is>
          <t>Interfaz</t>
        </is>
      </c>
      <c r="C25" s="4" t="inlineStr">
        <is>
          <t>Cuando uno terminó y el otro no, avisarle al que falta que lo están esperando, abajo a la derecha</t>
        </is>
      </c>
      <c r="D25" s="7" t="inlineStr">
        <is>
          <t>Pendiente</t>
        </is>
      </c>
      <c r="E25" s="4" t="inlineStr">
        <is>
          <t>Mismo componente de avisos que el punto anterior.</t>
        </is>
      </c>
      <c r="F25" s="21" t="n">
        <v>1</v>
      </c>
    </row>
    <row r="26" ht="57.95" customHeight="1" s="16">
      <c r="A26" s="2" t="n">
        <v>22</v>
      </c>
      <c r="B26" s="3" t="inlineStr">
        <is>
          <t>Momentos</t>
        </is>
      </c>
      <c r="C26" s="4" t="inlineStr">
        <is>
          <t>Los momentos tienen que ser obligatorios para avanzar: hoy se puede cerrar sin jugarlos</t>
        </is>
      </c>
      <c r="D26" s="7" t="inlineStr">
        <is>
          <t>Pendiente</t>
        </is>
      </c>
      <c r="E26" s="4" t="inlineStr">
        <is>
          <t>Agujero real: los momentos son lo que más mueve el año y se pueden saltear.</t>
        </is>
      </c>
      <c r="F26" s="21" t="n">
        <v>1</v>
      </c>
    </row>
    <row r="27" ht="57.95" customHeight="1" s="16">
      <c r="A27" s="2" t="n">
        <v>23</v>
      </c>
      <c r="B27" s="3" t="inlineStr">
        <is>
          <t>Momentos</t>
        </is>
      </c>
      <c r="C27" s="4" t="inlineStr">
        <is>
          <t>30 momentos del futbolista (juega 3 por año), por familias y más icónicos</t>
        </is>
      </c>
      <c r="D27" s="7" t="inlineStr">
        <is>
          <t>Pendiente</t>
        </is>
      </c>
      <c r="E27" s="4" t="inlineStr">
        <is>
          <t>Familias: sociales, prensa, lesiones, comidas, turbios, momento del partido, árbitros, tarjetas. Más icónicos: que te llame un programa de chimentos. Cada familia saca su probabilidad de las stats que le corresponden.</t>
        </is>
      </c>
      <c r="F27" s="21" t="n">
        <v>1</v>
      </c>
    </row>
    <row r="28" ht="57.95" customHeight="1" s="16">
      <c r="A28" s="2" t="n">
        <v>24</v>
      </c>
      <c r="B28" s="3" t="inlineStr">
        <is>
          <t>Momentos</t>
        </is>
      </c>
      <c r="C28" s="4" t="inlineStr">
        <is>
          <t>Ver si dejamos 1, 2 o 3 momentos por año</t>
        </is>
      </c>
      <c r="D28" s="8" t="inlineStr">
        <is>
          <t>Pendiente de decisión</t>
        </is>
      </c>
      <c r="E28" s="4" t="inlineStr">
        <is>
          <t>Hoy son 3 del futbolista y 2 del repre.</t>
        </is>
      </c>
      <c r="F28" s="20" t="n"/>
    </row>
    <row r="29" ht="57.95" customHeight="1" s="16">
      <c r="A29" s="2" t="n">
        <v>25</v>
      </c>
      <c r="B29" s="3" t="inlineStr">
        <is>
          <t>Repre</t>
        </is>
      </c>
      <c r="C29" s="4" t="inlineStr">
        <is>
          <t>20 momentos del representante (juega 2 por año), por familias</t>
        </is>
      </c>
      <c r="D29" s="7" t="inlineStr">
        <is>
          <t>Pendiente</t>
        </is>
      </c>
      <c r="E29" s="4" t="inlineStr">
        <is>
          <t>Familias: sociales, familiares, turbios, prensa. Mismo criterio de stats por familia.</t>
        </is>
      </c>
      <c r="F29" s="21" t="n">
        <v>1</v>
      </c>
    </row>
    <row r="30" ht="57.95" customHeight="1" s="16">
      <c r="A30" s="2" t="n">
        <v>26</v>
      </c>
      <c r="B30" s="3" t="inlineStr">
        <is>
          <t>Repre</t>
        </is>
      </c>
      <c r="C30" s="4" t="inlineStr">
        <is>
          <t>Sacar los momentos del repre de la pretemporada y ponerlos en temporada</t>
        </is>
      </c>
      <c r="D30" s="7" t="inlineStr">
        <is>
          <t>Pendiente</t>
        </is>
      </c>
      <c r="E30" s="4" t="inlineStr">
        <is>
          <t>Y revisar por qué se están resolviendo automáticamente sin que los juegues.</t>
        </is>
      </c>
      <c r="F30" s="21" t="n">
        <v>1</v>
      </c>
    </row>
    <row r="31" ht="57.95" customHeight="1" s="16">
      <c r="A31" s="2" t="n">
        <v>27</v>
      </c>
      <c r="B31" s="3" t="inlineStr">
        <is>
          <t>Repre</t>
        </is>
      </c>
      <c r="C31" s="4" t="inlineStr">
        <is>
          <t>Uno de los momentos: reclutar un jugador. Más media/fama del pibe, menor probabilidad</t>
        </is>
      </c>
      <c r="D31" s="7" t="inlineStr">
        <is>
          <t>Pendiente</t>
        </is>
      </c>
      <c r="E31" s="4" t="inlineStr">
        <is>
          <t>Y que la cantidad de representados importe: más prestigio y más plata, pero menos tiempo. Hace falta una stat que refleje la disponibilidad.</t>
        </is>
      </c>
      <c r="F31" s="21" t="n">
        <v>1</v>
      </c>
    </row>
    <row r="32" ht="57.95" customHeight="1" s="16">
      <c r="A32" s="2" t="n">
        <v>28</v>
      </c>
      <c r="B32" s="3" t="inlineStr">
        <is>
          <t>Repre</t>
        </is>
      </c>
      <c r="C32" s="4" t="inlineStr">
        <is>
          <t>Renegociar y tratar de renovar con el club como acción del repre en el mercado</t>
        </is>
      </c>
      <c r="D32" s="7" t="inlineStr">
        <is>
          <t>Pendiente</t>
        </is>
      </c>
      <c r="E32" s="4" t="inlineStr">
        <is>
          <t>La probabilidad tiene que salir de la media del jugador, de cuántas temporadas lleva en el club, de si rindió (no sólo la media) y de las stats del repre.</t>
        </is>
      </c>
      <c r="F32" s="22" t="n">
        <v>3</v>
      </c>
    </row>
    <row r="33" ht="57.95" customHeight="1" s="16">
      <c r="A33" s="2" t="n">
        <v>29</v>
      </c>
      <c r="B33" s="3" t="inlineStr">
        <is>
          <t>Repre</t>
        </is>
      </c>
      <c r="C33" s="4" t="inlineStr">
        <is>
          <t>Sacar el 'no hay nada que decidir acá' del aviso de contrato vencido</t>
        </is>
      </c>
      <c r="D33" s="7" t="inlineStr">
        <is>
          <t>Pendiente</t>
        </is>
      </c>
      <c r="E33" s="4" t="inlineStr">
        <is>
          <t>Va junto con la renegociación en el mercado: pasa a haber algo que decidir.</t>
        </is>
      </c>
      <c r="F33" s="21" t="n">
        <v>1</v>
      </c>
    </row>
    <row r="34" ht="57.95" customHeight="1" s="16">
      <c r="A34" s="2" t="n">
        <v>30</v>
      </c>
      <c r="B34" s="3" t="inlineStr">
        <is>
          <t>Repre</t>
        </is>
      </c>
      <c r="C34" s="4" t="inlineStr">
        <is>
          <t>Poner en cada tarjeta de gestión cuánto sube y cuánto baja</t>
        </is>
      </c>
      <c r="D34" s="7" t="inlineStr">
        <is>
          <t>Pendiente</t>
        </is>
      </c>
      <c r="E34" s="4" t="inlineStr">
        <is>
          <t>Los mismos chips que ya tienen los momentos. Requiere que las gestiones declaren su efecto en vez de aplicarlo a mano.</t>
        </is>
      </c>
      <c r="F34" s="21" t="n">
        <v>1</v>
      </c>
    </row>
    <row r="35" ht="57.95" customHeight="1" s="16">
      <c r="A35" s="2" t="n">
        <v>31</v>
      </c>
      <c r="B35" s="3" t="inlineStr">
        <is>
          <t>Repre</t>
        </is>
      </c>
      <c r="C35" s="4" t="inlineStr">
        <is>
          <t>Dejar la gestión sólo en la pretemporada y que aplique a toda la temporada</t>
        </is>
      </c>
      <c r="D35" s="7" t="inlineStr">
        <is>
          <t>Pendiente</t>
        </is>
      </c>
      <c r="E35" s="4" t="inlineStr">
        <is>
          <t>Hoy se elige en fase 1 y otra vez en fase 2.</t>
        </is>
      </c>
      <c r="F35" s="21" t="n">
        <v>1</v>
      </c>
    </row>
    <row r="36" ht="57.95" customHeight="1" s="16">
      <c r="A36" s="2" t="n">
        <v>32</v>
      </c>
      <c r="B36" s="3" t="inlineStr">
        <is>
          <t>Mapa</t>
        </is>
      </c>
      <c r="C36" s="4" t="inlineStr">
        <is>
          <t>Un mapa de verdad: NO es Google Maps ni similar</t>
        </is>
      </c>
      <c r="D36" s="7" t="inlineStr">
        <is>
          <t>Pendiente</t>
        </is>
      </c>
      <c r="E36" s="4" t="inlineStr">
        <is>
          <t>Tenés razón: las costas están simplificadas a mano y se ven como polígonos toscos. Voy a traer datos de costa reales (Natural Earth, dominio público) en vez de seguir dibujando a ojo.</t>
        </is>
      </c>
      <c r="F36" s="21" t="n">
        <v>1</v>
      </c>
    </row>
    <row r="37" ht="57.95" customHeight="1" s="16">
      <c r="A37" s="2" t="n">
        <v>33</v>
      </c>
      <c r="B37" s="3" t="inlineStr">
        <is>
          <t>Contrato</t>
        </is>
      </c>
      <c r="C37" s="4" t="inlineStr">
        <is>
          <t>La mesa del contrato entre ustedes dos es medio aburrida</t>
        </is>
      </c>
      <c r="D37" s="8" t="inlineStr">
        <is>
          <t>Pendiente de charla</t>
        </is>
      </c>
      <c r="E37" s="4" t="inlineStr">
        <is>
          <t>Anotado como pendiente de conversación, no de código. Hoy es elegir un número de una lista: no hay tira y afloje, no hay minijuego, y no juegan las stats de ninguno de los dos.</t>
        </is>
      </c>
      <c r="F37" s="20" t="n"/>
    </row>
    <row r="38" ht="57.95" customHeight="1" s="16">
      <c r="A38" s="2" t="n">
        <v>34</v>
      </c>
      <c r="B38" s="3" t="inlineStr">
        <is>
          <t>Backlog</t>
        </is>
      </c>
      <c r="C38" s="4" t="inlineStr">
        <is>
          <t>Modo SOLO: jugar sin representante, o sin futbolista</t>
        </is>
      </c>
      <c r="D38" s="9" t="inlineStr">
        <is>
          <t>Backlog</t>
        </is>
      </c>
      <c r="E38" s="4" t="inlineStr">
        <is>
          <t>Dijiste que es para el futuro. El motor cubriría al que falta.</t>
        </is>
      </c>
      <c r="F38" s="20" t="n"/>
    </row>
    <row r="39" ht="57.95" customHeight="1" s="16">
      <c r="A39" s="2" t="n">
        <v>35</v>
      </c>
      <c r="B39" s="3" t="inlineStr">
        <is>
          <t>Backlog</t>
        </is>
      </c>
      <c r="C39" s="4" t="inlineStr">
        <is>
          <t>Salida a préstamo</t>
        </is>
      </c>
      <c r="D39" s="9" t="inlineStr">
        <is>
          <t>Backlog</t>
        </is>
      </c>
      <c r="E39" s="4" t="inlineStr">
        <is>
          <t>Dijiste 'dejar para adelante'. El club te manda a sumar minutos a otro equipo y elegís dónde.</t>
        </is>
      </c>
      <c r="F39" s="20" t="n"/>
    </row>
    <row r="41" ht="15.75" customHeight="1" s="16">
      <c r="B41" s="10" t="inlineStr">
        <is>
          <t>Resumen</t>
        </is>
      </c>
    </row>
    <row r="42">
      <c r="B42" s="11" t="inlineStr">
        <is>
          <t>Implementado</t>
        </is>
      </c>
      <c r="C42" s="12">
        <f>COUNTIF($D$5:$D$39,"Implementado")+COUNTIF($D$5:$D$39,"Confirmado · sin cambios")</f>
        <v/>
      </c>
    </row>
    <row r="43">
      <c r="B43" s="11" t="inlineStr">
        <is>
          <t>Motor listo, falta pantalla</t>
        </is>
      </c>
      <c r="C43" s="12">
        <f>COUNTIF($D$5:$D$39,"Motor listo · falta pantalla")</f>
        <v/>
      </c>
    </row>
    <row r="44">
      <c r="B44" s="11" t="inlineStr">
        <is>
          <t>Pendiente</t>
        </is>
      </c>
      <c r="C44" s="12">
        <f>COUNTIF($D$5:$D$39,"Pendiente")</f>
        <v/>
      </c>
    </row>
    <row r="45">
      <c r="B45" s="11" t="inlineStr">
        <is>
          <t>Pendiente de decisión o charla</t>
        </is>
      </c>
      <c r="C45" s="12">
        <f>COUNTIF($D$5:$D$39,"Pendiente de decisión")+COUNTIF($D$5:$D$39,"Pendiente de charla")</f>
        <v/>
      </c>
    </row>
    <row r="46">
      <c r="B46" s="11" t="inlineStr">
        <is>
          <t>Backlog</t>
        </is>
      </c>
      <c r="C46" s="12">
        <f>COUNTIF($D$5:$D$39,"Backlog")</f>
        <v/>
      </c>
    </row>
    <row r="47">
      <c r="B47" s="13" t="inlineStr">
        <is>
          <t>Total</t>
        </is>
      </c>
      <c r="C47" s="14">
        <f>COUNTA($C$5:$C$39)</f>
        <v/>
      </c>
    </row>
    <row r="49">
      <c r="B49" s="10" t="inlineStr">
        <is>
          <t>Pendientes por prioridad</t>
        </is>
      </c>
    </row>
    <row r="50">
      <c r="B50" s="25" t="inlineStr">
        <is>
          <t>Prioridad 1</t>
        </is>
      </c>
      <c r="C50" s="26">
        <f>COUNTIF($F$5:$F$39,1)</f>
        <v/>
      </c>
    </row>
    <row r="51">
      <c r="B51" s="25" t="inlineStr">
        <is>
          <t>Prioridad 2</t>
        </is>
      </c>
      <c r="C51" s="26">
        <f>COUNTIF($F$5:$F$39,2)</f>
        <v/>
      </c>
    </row>
    <row r="52">
      <c r="B52" s="25" t="inlineStr">
        <is>
          <t>Prioridad 3</t>
        </is>
      </c>
      <c r="C52" s="26">
        <f>COUNTIF($F$5:$F$39,3)</f>
        <v/>
      </c>
    </row>
    <row r="53">
      <c r="B53" s="25" t="inlineStr">
        <is>
          <t>Prioridad 4</t>
        </is>
      </c>
      <c r="C53" s="26">
        <f>COUNTIF($F$5:$F$39,4)</f>
        <v/>
      </c>
    </row>
  </sheetData>
  <autoFilter ref="A4:F3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2026-08-17T23:28:14Z</dcterms:created>
  <dcterms:modified xsi:type="dcterms:W3CDTF">2026-08-17T23:46:15Z</dcterms:modified>
  <cp:lastModifiedBy>Alan Pomato</cp:lastModifiedBy>
</cp:coreProperties>
</file>